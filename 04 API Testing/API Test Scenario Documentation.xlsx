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adhi\Downloads\"/>
    </mc:Choice>
  </mc:AlternateContent>
  <xr:revisionPtr revIDLastSave="0" documentId="13_ncr:1_{0C1BF908-5164-4B40-81D8-F1859E987563}" xr6:coauthVersionLast="47" xr6:coauthVersionMax="47" xr10:uidLastSave="{00000000-0000-0000-0000-000000000000}"/>
  <bookViews>
    <workbookView xWindow="-120" yWindow="-120" windowWidth="29040" windowHeight="15720" xr2:uid="{00000000-000D-0000-FFFF-FFFF00000000}"/>
  </bookViews>
  <sheets>
    <sheet name="Summary" sheetId="1" r:id="rId1"/>
    <sheet name="Test Case" sheetId="2" r:id="rId2"/>
    <sheet name="Observation Report" sheetId="3" r:id="rId3"/>
  </sheets>
  <calcPr calcId="191029"/>
</workbook>
</file>

<file path=xl/calcChain.xml><?xml version="1.0" encoding="utf-8"?>
<calcChain xmlns="http://schemas.openxmlformats.org/spreadsheetml/2006/main">
  <c r="C26" i="1" l="1"/>
  <c r="D26" i="1" s="1"/>
  <c r="C25" i="1"/>
  <c r="D25" i="1" s="1"/>
  <c r="C24" i="1"/>
  <c r="D24" i="1" s="1"/>
  <c r="D23" i="1" s="1"/>
  <c r="C23" i="1"/>
</calcChain>
</file>

<file path=xl/sharedStrings.xml><?xml version="1.0" encoding="utf-8"?>
<sst xmlns="http://schemas.openxmlformats.org/spreadsheetml/2006/main" count="185" uniqueCount="138">
  <si>
    <t>Technical Test – IT QA Automation</t>
  </si>
  <si>
    <t>DummyJSON Public API</t>
  </si>
  <si>
    <t>Base URL</t>
  </si>
  <si>
    <t>https://dummyjson.com</t>
  </si>
  <si>
    <t>Observation ID</t>
  </si>
  <si>
    <t>Test ID</t>
  </si>
  <si>
    <t>Tool</t>
  </si>
  <si>
    <t>Postman</t>
  </si>
  <si>
    <t>Endpoint</t>
  </si>
  <si>
    <t>Linked TC</t>
  </si>
  <si>
    <t>Method</t>
  </si>
  <si>
    <t>Title</t>
  </si>
  <si>
    <t>Scenario Type</t>
  </si>
  <si>
    <t>Testing Type</t>
  </si>
  <si>
    <t>Test Scenario</t>
  </si>
  <si>
    <t>API Functional Testing</t>
  </si>
  <si>
    <t>Test Data</t>
  </si>
  <si>
    <t>Expected Result</t>
  </si>
  <si>
    <t>Actual Result</t>
  </si>
  <si>
    <t>Test Coverage</t>
  </si>
  <si>
    <t>6 endpoints, minimum 1 positive and 1 negative scenario per endpoint</t>
  </si>
  <si>
    <t>Severity</t>
  </si>
  <si>
    <t>Status</t>
  </si>
  <si>
    <t>Evidence</t>
  </si>
  <si>
    <t>API-001</t>
  </si>
  <si>
    <t>/auth/login</t>
  </si>
  <si>
    <t>POST</t>
  </si>
  <si>
    <t>OBS-001</t>
  </si>
  <si>
    <t>Objective</t>
  </si>
  <si>
    <t>Positive</t>
  </si>
  <si>
    <t>API-004</t>
  </si>
  <si>
    <t>Login with valid credentials</t>
  </si>
  <si>
    <t>The objective of this test is to validate the functional behavior and response contract of the specified DummyJSON API endpoints using Postman.</t>
  </si>
  <si>
    <t>Invalid limit parameter handling</t>
  </si>
  <si>
    <r>
      <rPr>
        <b/>
        <sz val="10"/>
        <color theme="1"/>
        <rFont val="Arial"/>
      </rPr>
      <t xml:space="preserve">Body Request
</t>
    </r>
    <r>
      <rPr>
        <sz val="10"/>
        <color theme="1"/>
        <rFont val="Arial"/>
      </rPr>
      <t>username : "emilys"
password : "emilyspass"</t>
    </r>
  </si>
  <si>
    <t>The test suite covers positive and negative scenarios, HTTP status validation, response time, JSON content type, required response fields, request-response data consistency, and error handling.</t>
  </si>
  <si>
    <r>
      <rPr>
        <b/>
        <sz val="10"/>
        <color theme="1"/>
        <rFont val="Arial"/>
      </rPr>
      <t xml:space="preserve">GET </t>
    </r>
    <r>
      <rPr>
        <sz val="10"/>
        <color theme="1"/>
        <rFont val="Arial"/>
      </rPr>
      <t>/users?limit=abc</t>
    </r>
  </si>
  <si>
    <t>API returns 200 OK. Response time is less than or equal to 3000 ms. Response header contains application/json. Response contains required fields such as id, username, email, accessToken, and refreshToken. Returned username matches the username sent in the request.</t>
  </si>
  <si>
    <t>API handles invalid limit without server failure, returns valid JSON, and responds within 3000 ms.</t>
  </si>
  <si>
    <t>API returned 400 Bad Request in 272 ms. Response was valid JSON and the invalid parameter was handled without server error.</t>
  </si>
  <si>
    <t>API returned 200 OK in 343 ms. Response was returned in JSON format and contained the required authentication fields. The returned username matched the request payload.</t>
  </si>
  <si>
    <t>Test Scope and Validation Criteria</t>
  </si>
  <si>
    <t>Informational</t>
  </si>
  <si>
    <t>PASS</t>
  </si>
  <si>
    <t>OBSERVATION</t>
  </si>
  <si>
    <t>Validate the expected HTTP status code.</t>
  </si>
  <si>
    <t>01 - Login - Positive - Body.png 
01 - Login - Positive - Test Result.png</t>
  </si>
  <si>
    <t>Validate response time is less than or equal to 3000 ms.</t>
  </si>
  <si>
    <t>04 - Get Users - Negative Invalid Limit - Body.png
04 - Get Users - Negative Invalid Limit - Test Result.png</t>
  </si>
  <si>
    <t>Validate the response Content-Type contains application/json.</t>
  </si>
  <si>
    <t>Validate required response fields according to the API response structure.</t>
  </si>
  <si>
    <t>Validate selected response fields match the submitted request payload where applicable.</t>
  </si>
  <si>
    <t>Execute at least one positive and one negative scenario for each endpoint.</t>
  </si>
  <si>
    <t>Test Summary</t>
  </si>
  <si>
    <t>API-002</t>
  </si>
  <si>
    <t>Metric</t>
  </si>
  <si>
    <t>Count</t>
  </si>
  <si>
    <t>Percentage</t>
  </si>
  <si>
    <t>OBS-002</t>
  </si>
  <si>
    <t>Total Test Cases</t>
  </si>
  <si>
    <t>API-008</t>
  </si>
  <si>
    <t>Negative</t>
  </si>
  <si>
    <t>Empty payload accepted when creating user</t>
  </si>
  <si>
    <t>Login with invalid credentials</t>
  </si>
  <si>
    <r>
      <rPr>
        <b/>
        <sz val="10"/>
        <color theme="1"/>
        <rFont val="Arial"/>
      </rPr>
      <t xml:space="preserve">Body Request
</t>
    </r>
    <r>
      <rPr>
        <sz val="10"/>
        <color theme="1"/>
        <rFont val="Arial"/>
      </rPr>
      <t>username : "emilys"
password : "wrongpassword"</t>
    </r>
  </si>
  <si>
    <t>API rejects the login attempt and returns an authentication error status such as 400 or 401. Response time is less than or equal to 3000 ms, response format is JSON, and an error message is returned.</t>
  </si>
  <si>
    <t>API returned 400 Bad Request in 207 ms when an invalid password was submitted. The response was JSON and contained an error message.</t>
  </si>
  <si>
    <r>
      <rPr>
        <b/>
        <sz val="10"/>
        <color theme="1"/>
        <rFont val="Arial"/>
      </rPr>
      <t xml:space="preserve">POST </t>
    </r>
    <r>
      <rPr>
        <sz val="10"/>
        <color theme="1"/>
        <rFont val="Arial"/>
      </rPr>
      <t>/users/add</t>
    </r>
  </si>
  <si>
    <t>02 - Login - Negative Invalid Password - Body.png
02 - Login - Negative Invalid Password - Test Result.png</t>
  </si>
  <si>
    <t>API should handle an empty payload appropriately and return a valid JSON response within 3000 ms.</t>
  </si>
  <si>
    <t>API returned 201 Created in 259 ms even though no payload was provided. The request was accepted and a JSON response was returned.</t>
  </si>
  <si>
    <t>Need to Clarification</t>
  </si>
  <si>
    <t>Passed</t>
  </si>
  <si>
    <t>08 - Add User - Negative Empty Payload - Body.png
08 - Add User - Negative Empty Payload - Test Result.png</t>
  </si>
  <si>
    <t>API-003</t>
  </si>
  <si>
    <t>/users</t>
  </si>
  <si>
    <t>GET</t>
  </si>
  <si>
    <t>Retrieve users successfully</t>
  </si>
  <si>
    <t>-</t>
  </si>
  <si>
    <t>Failed</t>
  </si>
  <si>
    <t>API returns 200 OK. Response time is less than or equal to 3000 ms and response type is JSON. Response contains users, total, skip, and limit. users is returned as an array and user records contain required fields such as id, firstName, lastName, email, and username.</t>
  </si>
  <si>
    <t>API returned 200 OK in 343 ms. Response contained the users list, pagination fields, and required user fields.</t>
  </si>
  <si>
    <t>03 - Get Users - Positive - Body.png
03 - Get Users - Positive - Test Result.png</t>
  </si>
  <si>
    <t>Observation</t>
  </si>
  <si>
    <t>Retrieve users with invalid query parameter</t>
  </si>
  <si>
    <r>
      <rPr>
        <b/>
        <sz val="10"/>
        <color theme="1"/>
        <rFont val="Arial"/>
      </rPr>
      <t xml:space="preserve">URL
</t>
    </r>
    <r>
      <rPr>
        <sz val="10"/>
        <color theme="1"/>
        <rFont val="Arial"/>
      </rPr>
      <t>limit=abc</t>
    </r>
  </si>
  <si>
    <t>API handles the invalid limit parameter without server failure. Response time remains less than or equal to 3000 ms, response is valid JSON, and the actual API behavior for the invalid parameter is recorded.</t>
  </si>
  <si>
    <t>API returned 400 Bad Request in 272 ms when limit=abc was provided. The response was returned as valid JSON and the request was handled without a server error.</t>
  </si>
  <si>
    <t>API-005</t>
  </si>
  <si>
    <t>/users/{id}</t>
  </si>
  <si>
    <t>Retrieve existing user by ID</t>
  </si>
  <si>
    <r>
      <rPr>
        <b/>
        <sz val="10"/>
        <color theme="1"/>
        <rFont val="Arial"/>
      </rPr>
      <t xml:space="preserve">URL
</t>
    </r>
    <r>
      <rPr>
        <sz val="10"/>
        <color theme="1"/>
        <rFont val="Arial"/>
      </rPr>
      <t>{{userId}} : 1 - 208</t>
    </r>
  </si>
  <si>
    <t>API returns 200 OK. Response time is less than or equal to 3000 ms, response type is JSON, and the response contains the required user fields. Returned user ID matches the requested user ID.</t>
  </si>
  <si>
    <t>API returned 200 OK in 256 ms. The response contained the required user fields and the returned user ID matched the requested ID.</t>
  </si>
  <si>
    <t>05 - Get User by ID - Positive - Body.png
05 - Get User by ID - Positive - Test Result.png</t>
  </si>
  <si>
    <t>API-006</t>
  </si>
  <si>
    <t>Retrieve non-existing user by ID</t>
  </si>
  <si>
    <r>
      <rPr>
        <b/>
        <sz val="10"/>
        <color theme="1"/>
        <rFont val="Arial"/>
      </rPr>
      <t xml:space="preserve">URL
</t>
    </r>
    <r>
      <rPr>
        <sz val="10"/>
        <color theme="1"/>
        <rFont val="Arial"/>
      </rPr>
      <t>{{userId}} : 209</t>
    </r>
  </si>
  <si>
    <t>API returns 404 Not Found for a non-existing user ID. Response time is less than or equal to 3000 ms, response type is JSON, and a non-empty error message is returned.</t>
  </si>
  <si>
    <t>API returned 404 Not Found in 263 ms for user ID 209. The response was JSON and contained a non-empty error message.</t>
  </si>
  <si>
    <t>06 - Get User by ID - Negative - Body.png
06 - Get User by ID - Negative - Test Result.png</t>
  </si>
  <si>
    <t>API-007</t>
  </si>
  <si>
    <t>/users/add</t>
  </si>
  <si>
    <t>Create user with valid payload</t>
  </si>
  <si>
    <r>
      <rPr>
        <b/>
        <sz val="10"/>
        <color theme="1"/>
        <rFont val="Arial"/>
      </rPr>
      <t xml:space="preserve">Body Request
</t>
    </r>
    <r>
      <rPr>
        <sz val="10"/>
        <color theme="1"/>
        <rFont val="Arial"/>
      </rPr>
      <t>firstName : "{{FirstName}}"
lastName : "{{LastName}}"
age : {{Age}}
email : "{{Email}}"</t>
    </r>
  </si>
  <si>
    <t>API returns 201 Created. Response time is less than or equal to 3000 ms and response type is JSON. Response contains a generated id. The returned firstName, lastName, age, and email match the values submitted in the request payload.</t>
  </si>
  <si>
    <t>API returned 201 Created in 203 ms. A user ID was generated and the returned user data matched the submitted request payload.</t>
  </si>
  <si>
    <t>07 - Add User - Positive - Body.png
07 - Add User - Positive - Test Result.png</t>
  </si>
  <si>
    <t>Create user with invalid or empty payload</t>
  </si>
  <si>
    <r>
      <rPr>
        <b/>
        <sz val="10"/>
        <color theme="1"/>
        <rFont val="Arial"/>
      </rPr>
      <t>Body Request</t>
    </r>
    <r>
      <rPr>
        <sz val="10"/>
        <color theme="1"/>
        <rFont val="Arial"/>
      </rPr>
      <t xml:space="preserve"> : None</t>
    </r>
  </si>
  <si>
    <t>API handles an empty request payload and returns a valid JSON response within 3000 ms. The actual status and validation behavior are recorded based on the API response.</t>
  </si>
  <si>
    <t>API returned 201 Created in 259 ms even though no request payload was provided. The response was valid JSON and the request was still accepted.</t>
  </si>
  <si>
    <t>API-009</t>
  </si>
  <si>
    <t>PUT</t>
  </si>
  <si>
    <t>Update existing user</t>
  </si>
  <si>
    <r>
      <rPr>
        <b/>
        <sz val="10"/>
        <color theme="1"/>
        <rFont val="Arial"/>
      </rPr>
      <t xml:space="preserve">URL
</t>
    </r>
    <r>
      <rPr>
        <sz val="10"/>
        <color theme="1"/>
        <rFont val="Arial"/>
      </rPr>
      <t>{{userId}} : 1 - 208</t>
    </r>
  </si>
  <si>
    <t>API returns 200 OK. Response time is less than or equal to 3000 ms and response type is JSON. Response contains the user ID, the returned ID matches the requested ID, and updated fields match the submitted request payload.</t>
  </si>
  <si>
    <t>API returned 200 OK in 320 ms. The returned user ID matched the requested ID and the updated data matched the submitted request payload.</t>
  </si>
  <si>
    <t>09 - Update User - Positive - Body.png
09 - Update User - Positive - Test Result.png</t>
  </si>
  <si>
    <t>API-010</t>
  </si>
  <si>
    <t>Update non-existing user</t>
  </si>
  <si>
    <r>
      <rPr>
        <b/>
        <sz val="10"/>
        <color theme="1"/>
        <rFont val="Arial"/>
      </rPr>
      <t xml:space="preserve">URL
</t>
    </r>
    <r>
      <rPr>
        <sz val="10"/>
        <color theme="1"/>
        <rFont val="Arial"/>
      </rPr>
      <t>{{userId}} : 209</t>
    </r>
  </si>
  <si>
    <t>API returns 404 Not Found when attempting to update a non-existing user. Response time is less than or equal to 3000 ms, response type is JSON, and a non-empty error message is returned.</t>
  </si>
  <si>
    <t>API returned 404 Not Found in 319 ms when attempting to update user ID 209. The response contained a non-empty error message.</t>
  </si>
  <si>
    <t>10 - Update User - Negative - Body.png
10 - Update User - Negative - Test Result.png</t>
  </si>
  <si>
    <t>API-011</t>
  </si>
  <si>
    <t>DELETE</t>
  </si>
  <si>
    <t>Delete existing user</t>
  </si>
  <si>
    <r>
      <rPr>
        <b/>
        <sz val="10"/>
        <color theme="1"/>
        <rFont val="Arial"/>
      </rPr>
      <t xml:space="preserve">URL
</t>
    </r>
    <r>
      <rPr>
        <sz val="10"/>
        <color theme="1"/>
        <rFont val="Arial"/>
      </rPr>
      <t>{{userId}} : 1 - 208</t>
    </r>
  </si>
  <si>
    <t>API returns 200 OK. Response time is less than or equal to 3000 ms and response type is JSON. Returned user ID matches the requested ID, isDeleted is true, and the response contains deletedOn.</t>
  </si>
  <si>
    <t>API returned 200 OK in 456 ms. The returned user ID matched the requested ID, isDeleted was true, and deletedOn was present in the response.</t>
  </si>
  <si>
    <t>11 - Delete User - Positive - Body.png
11 - Delete User - Positive - Test Result.png</t>
  </si>
  <si>
    <t>API-012</t>
  </si>
  <si>
    <t>Delete non-existing user</t>
  </si>
  <si>
    <r>
      <rPr>
        <b/>
        <sz val="10"/>
        <color theme="1"/>
        <rFont val="Arial"/>
      </rPr>
      <t xml:space="preserve">URL
</t>
    </r>
    <r>
      <rPr>
        <sz val="10"/>
        <color theme="1"/>
        <rFont val="Arial"/>
      </rPr>
      <t>{{userId}} : 209</t>
    </r>
  </si>
  <si>
    <t>API returns 404 Not Found when attempting to delete a non-existing user. Response time is less than or equal to 3000 ms, response type is JSON, and a non-empty error message is returned.</t>
  </si>
  <si>
    <t>API returned 404 Not Found in 443 ms when attempting to delete user ID 209. The response was JSON and contained a non-empty error message.</t>
  </si>
  <si>
    <t>12 - Delete User - Negative - Body.png
12 - Delete User - Negative - Test Result.png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</si>
</sst>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0"/>
      <color rgb="FF000000"/>
      <name val="Arial"/>
      <scheme val="minor"/>
    </font>
    <font>
      <sz val="10"/>
      <color theme="1"/>
      <name val="Arial"/>
    </font>
    <font>
      <b/>
      <sz val="10"/>
      <color theme="1"/>
      <name val="Arial"/>
    </font>
    <font>
      <u/>
      <sz val="10"/>
      <color rgb="FF0000FF"/>
      <name val="Arial"/>
    </font>
    <font>
      <sz val="10"/>
      <name val="Arial"/>
    </font>
    <font>
      <b/>
      <sz val="10"/>
      <color theme="1"/>
      <name val="Arial"/>
      <scheme val="minor"/>
    </font>
    <font>
      <sz val="10"/>
      <color theme="1"/>
      <name val="Arial"/>
      <scheme val="minor"/>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666666"/>
      </left>
      <right style="thin">
        <color rgb="FF666666"/>
      </right>
      <top style="thin">
        <color rgb="FF666666"/>
      </top>
      <bottom style="thin">
        <color rgb="FF666666"/>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2" fillId="0" borderId="1" xfId="0" applyFont="1" applyBorder="1"/>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vertical="center"/>
    </xf>
    <xf numFmtId="0" fontId="5" fillId="0" borderId="5" xfId="0" applyFont="1" applyBorder="1" applyAlignment="1">
      <alignment horizontal="center"/>
    </xf>
    <xf numFmtId="0" fontId="6" fillId="0" borderId="5" xfId="0" applyFont="1" applyBorder="1" applyAlignment="1">
      <alignment horizontal="left"/>
    </xf>
    <xf numFmtId="0" fontId="6" fillId="0" borderId="5" xfId="0" applyFont="1" applyBorder="1" applyAlignment="1">
      <alignment horizontal="center"/>
    </xf>
    <xf numFmtId="10" fontId="6" fillId="0" borderId="5" xfId="0" applyNumberFormat="1" applyFont="1" applyBorder="1" applyAlignment="1">
      <alignment horizontal="center"/>
    </xf>
    <xf numFmtId="0" fontId="3" fillId="0" borderId="2" xfId="0" applyFont="1" applyBorder="1"/>
    <xf numFmtId="0" fontId="4" fillId="0" borderId="3" xfId="0" applyFont="1" applyBorder="1"/>
    <xf numFmtId="0" fontId="4" fillId="0" borderId="4" xfId="0" applyFont="1" applyBorder="1"/>
    <xf numFmtId="0" fontId="1" fillId="0" borderId="2" xfId="0" applyFont="1" applyBorder="1"/>
    <xf numFmtId="0" fontId="1" fillId="0" borderId="2" xfId="0" applyFont="1" applyBorder="1" applyAlignment="1">
      <alignment horizontal="center" vertical="center"/>
    </xf>
    <xf numFmtId="0" fontId="2" fillId="0" borderId="7" xfId="0" applyFont="1" applyBorder="1" applyAlignment="1">
      <alignment horizontal="center" vertical="center"/>
    </xf>
    <xf numFmtId="0" fontId="0" fillId="0" borderId="6" xfId="0" applyFill="1" applyBorder="1" applyAlignment="1">
      <alignment vertical="center" wrapText="1"/>
    </xf>
    <xf numFmtId="0" fontId="1" fillId="0" borderId="7" xfId="0" applyFont="1" applyBorder="1" applyAlignment="1">
      <alignment horizontal="center" vertical="center" wrapText="1"/>
    </xf>
  </cellXfs>
  <cellStyles count="1">
    <cellStyle name="Normal" xfId="0" builtinId="0"/>
  </cellStyles>
  <dxfs count="10">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Test Case-style" pivot="0" count="4" xr9:uid="{00000000-0011-0000-FFFF-FFFF00000000}">
      <tableStyleElement type="wholeTable" size="0" dxfId="6"/>
      <tableStyleElement type="headerRow" dxfId="9"/>
      <tableStyleElement type="firstRowStripe" dxfId="8"/>
      <tableStyleElement type="secondRowStripe" dxfId="7"/>
    </tableStyle>
    <tableStyle name="Observation Report-style" pivot="0" count="4" xr9:uid="{00000000-0011-0000-FFFF-FFFF01000000}">
      <tableStyleElement type="wholeTable" size="0" dxfId="2"/>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ummyJSON" displayName="DummyJSON" ref="A1:J13">
  <tableColumns count="10">
    <tableColumn id="1" xr3:uid="{00000000-0010-0000-0000-000001000000}" name="Test ID"/>
    <tableColumn id="2" xr3:uid="{00000000-0010-0000-0000-000002000000}" name="Endpoint"/>
    <tableColumn id="3" xr3:uid="{00000000-0010-0000-0000-000003000000}" name="Method"/>
    <tableColumn id="4" xr3:uid="{00000000-0010-0000-0000-000004000000}" name="Scenario Type"/>
    <tableColumn id="5" xr3:uid="{00000000-0010-0000-0000-000005000000}" name="Test Scenario"/>
    <tableColumn id="6" xr3:uid="{00000000-0010-0000-0000-000006000000}" name="Test Data"/>
    <tableColumn id="7" xr3:uid="{00000000-0010-0000-0000-000007000000}" name="Expected Result"/>
    <tableColumn id="8" xr3:uid="{00000000-0010-0000-0000-000008000000}" name="Actual Result"/>
    <tableColumn id="9" xr3:uid="{00000000-0010-0000-0000-000009000000}" name="Status"/>
    <tableColumn id="10" xr3:uid="{00000000-0010-0000-0000-00000A000000}" name="Evidence" dataDxfId="1"/>
  </tableColumns>
  <tableStyleInfo name="Test Cas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port" displayName="Report" ref="A1:I3">
  <tableColumns count="9">
    <tableColumn id="1" xr3:uid="{00000000-0010-0000-0100-000001000000}" name="Observation ID"/>
    <tableColumn id="2" xr3:uid="{00000000-0010-0000-0100-000002000000}" name="Linked TC"/>
    <tableColumn id="3" xr3:uid="{00000000-0010-0000-0100-000003000000}" name="Title"/>
    <tableColumn id="4" xr3:uid="{00000000-0010-0000-0100-000004000000}" name="Endpoint"/>
    <tableColumn id="5" xr3:uid="{00000000-0010-0000-0100-000005000000}" name="Expected Result"/>
    <tableColumn id="6" xr3:uid="{00000000-0010-0000-0100-000006000000}" name="Actual Result"/>
    <tableColumn id="7" xr3:uid="{00000000-0010-0000-0100-000007000000}" name="Severity"/>
    <tableColumn id="8" xr3:uid="{00000000-0010-0000-0100-000008000000}" name="Status"/>
    <tableColumn id="9" xr3:uid="{00000000-0010-0000-0100-000009000000}" name="Evidence" dataDxfId="0"/>
  </tableColumns>
  <tableStyleInfo name="Observation Repor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ummyjson.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1"/>
  <sheetViews>
    <sheetView tabSelected="1" workbookViewId="0"/>
  </sheetViews>
  <sheetFormatPr defaultColWidth="12.5703125" defaultRowHeight="15.75" customHeight="1" x14ac:dyDescent="0.2"/>
  <cols>
    <col min="1" max="1" width="1.42578125" customWidth="1"/>
  </cols>
  <sheetData>
    <row r="1" spans="1:26" x14ac:dyDescent="0.2">
      <c r="A1" s="1"/>
      <c r="B1" s="1"/>
      <c r="C1" s="1"/>
      <c r="D1" s="1"/>
      <c r="E1" s="1"/>
      <c r="F1" s="1"/>
      <c r="G1" s="1"/>
      <c r="H1" s="1"/>
      <c r="I1" s="1"/>
      <c r="J1" s="1"/>
      <c r="K1" s="1"/>
      <c r="L1" s="1"/>
      <c r="M1" s="1"/>
      <c r="N1" s="1"/>
      <c r="O1" s="1"/>
      <c r="P1" s="1"/>
      <c r="Q1" s="1"/>
      <c r="R1" s="1"/>
      <c r="S1" s="1"/>
      <c r="T1" s="1"/>
      <c r="U1" s="1"/>
      <c r="V1" s="1"/>
      <c r="W1" s="1"/>
      <c r="X1" s="1"/>
      <c r="Y1" s="1"/>
      <c r="Z1" s="1"/>
    </row>
    <row r="2" spans="1:26" x14ac:dyDescent="0.2">
      <c r="A2" s="1"/>
      <c r="B2" s="2" t="s">
        <v>0</v>
      </c>
      <c r="C2" s="1"/>
      <c r="D2" s="1"/>
      <c r="E2" s="1"/>
      <c r="F2" s="1"/>
      <c r="G2" s="1"/>
      <c r="H2" s="1"/>
      <c r="I2" s="1"/>
      <c r="J2" s="1"/>
      <c r="K2" s="1"/>
      <c r="L2" s="1"/>
      <c r="M2" s="1"/>
      <c r="N2" s="1"/>
      <c r="O2" s="1"/>
      <c r="P2" s="1"/>
      <c r="Q2" s="1"/>
      <c r="R2" s="1"/>
      <c r="S2" s="1"/>
      <c r="T2" s="1"/>
      <c r="U2" s="1"/>
      <c r="V2" s="1"/>
      <c r="W2" s="1"/>
      <c r="X2" s="1"/>
      <c r="Y2" s="1"/>
      <c r="Z2" s="1"/>
    </row>
    <row r="3" spans="1:26" x14ac:dyDescent="0.2">
      <c r="A3" s="1"/>
      <c r="B3" s="2" t="s">
        <v>1</v>
      </c>
      <c r="C3" s="1"/>
      <c r="D3" s="1"/>
      <c r="E3" s="1"/>
      <c r="F3" s="1"/>
      <c r="G3" s="1"/>
      <c r="H3" s="1"/>
      <c r="I3" s="1"/>
      <c r="J3" s="1"/>
      <c r="K3" s="1"/>
      <c r="L3" s="1"/>
      <c r="M3" s="1"/>
      <c r="N3" s="1"/>
      <c r="O3" s="1"/>
      <c r="P3" s="1"/>
      <c r="Q3" s="1"/>
      <c r="R3" s="1"/>
      <c r="S3" s="1"/>
      <c r="T3" s="1"/>
      <c r="U3" s="1"/>
      <c r="V3" s="1"/>
      <c r="W3" s="1"/>
      <c r="X3" s="1"/>
      <c r="Y3" s="1"/>
      <c r="Z3" s="1"/>
    </row>
    <row r="4" spans="1:26" x14ac:dyDescent="0.2">
      <c r="A4" s="1"/>
      <c r="B4" s="3" t="s">
        <v>2</v>
      </c>
      <c r="C4" s="14" t="s">
        <v>3</v>
      </c>
      <c r="D4" s="15"/>
      <c r="E4" s="15"/>
      <c r="F4" s="15"/>
      <c r="G4" s="16"/>
      <c r="H4" s="1"/>
      <c r="I4" s="1"/>
      <c r="J4" s="1"/>
      <c r="K4" s="1"/>
      <c r="L4" s="1"/>
      <c r="M4" s="1"/>
      <c r="N4" s="1"/>
      <c r="O4" s="1"/>
      <c r="P4" s="1"/>
      <c r="Q4" s="1"/>
      <c r="R4" s="1"/>
      <c r="S4" s="1"/>
      <c r="T4" s="1"/>
      <c r="U4" s="1"/>
      <c r="V4" s="1"/>
      <c r="W4" s="1"/>
      <c r="X4" s="1"/>
      <c r="Y4" s="1"/>
      <c r="Z4" s="1"/>
    </row>
    <row r="5" spans="1:26" x14ac:dyDescent="0.2">
      <c r="A5" s="1"/>
      <c r="B5" s="3" t="s">
        <v>6</v>
      </c>
      <c r="C5" s="17" t="s">
        <v>7</v>
      </c>
      <c r="D5" s="15"/>
      <c r="E5" s="15"/>
      <c r="F5" s="15"/>
      <c r="G5" s="16"/>
      <c r="H5" s="1"/>
      <c r="I5" s="1"/>
      <c r="J5" s="1"/>
      <c r="K5" s="1"/>
      <c r="L5" s="1"/>
      <c r="M5" s="1"/>
      <c r="N5" s="1"/>
      <c r="O5" s="1"/>
      <c r="P5" s="1"/>
      <c r="Q5" s="1"/>
      <c r="R5" s="1"/>
      <c r="S5" s="1"/>
      <c r="T5" s="1"/>
      <c r="U5" s="1"/>
      <c r="V5" s="1"/>
      <c r="W5" s="1"/>
      <c r="X5" s="1"/>
      <c r="Y5" s="1"/>
      <c r="Z5" s="1"/>
    </row>
    <row r="6" spans="1:26" x14ac:dyDescent="0.2">
      <c r="A6" s="1"/>
      <c r="B6" s="3" t="s">
        <v>13</v>
      </c>
      <c r="C6" s="17" t="s">
        <v>15</v>
      </c>
      <c r="D6" s="15"/>
      <c r="E6" s="15"/>
      <c r="F6" s="15"/>
      <c r="G6" s="16"/>
      <c r="H6" s="1"/>
      <c r="I6" s="1"/>
      <c r="J6" s="1"/>
      <c r="K6" s="1"/>
      <c r="L6" s="1"/>
      <c r="M6" s="1"/>
      <c r="N6" s="1"/>
      <c r="O6" s="1"/>
      <c r="P6" s="1"/>
      <c r="Q6" s="1"/>
      <c r="R6" s="1"/>
      <c r="S6" s="1"/>
      <c r="T6" s="1"/>
      <c r="U6" s="1"/>
      <c r="V6" s="1"/>
      <c r="W6" s="1"/>
      <c r="X6" s="1"/>
      <c r="Y6" s="1"/>
      <c r="Z6" s="1"/>
    </row>
    <row r="7" spans="1:26" x14ac:dyDescent="0.2">
      <c r="A7" s="1"/>
      <c r="B7" s="3" t="s">
        <v>19</v>
      </c>
      <c r="C7" s="17" t="s">
        <v>20</v>
      </c>
      <c r="D7" s="15"/>
      <c r="E7" s="15"/>
      <c r="F7" s="15"/>
      <c r="G7" s="16"/>
      <c r="H7" s="1"/>
      <c r="I7" s="1"/>
      <c r="J7" s="1"/>
      <c r="K7" s="1"/>
      <c r="L7" s="1"/>
      <c r="M7" s="1"/>
      <c r="N7" s="1"/>
      <c r="O7" s="1"/>
      <c r="P7" s="1"/>
      <c r="Q7" s="1"/>
      <c r="R7" s="1"/>
      <c r="S7" s="1"/>
      <c r="T7" s="1"/>
      <c r="U7" s="1"/>
      <c r="V7" s="1"/>
      <c r="W7" s="1"/>
      <c r="X7" s="1"/>
      <c r="Y7" s="1"/>
      <c r="Z7" s="1"/>
    </row>
    <row r="8" spans="1:26" x14ac:dyDescent="0.2">
      <c r="A8" s="1"/>
      <c r="B8" s="1"/>
      <c r="C8" s="1"/>
      <c r="D8" s="1"/>
      <c r="E8" s="1"/>
      <c r="F8" s="1"/>
      <c r="G8" s="1"/>
      <c r="H8" s="1"/>
      <c r="I8" s="1"/>
      <c r="J8" s="1"/>
      <c r="K8" s="1"/>
      <c r="L8" s="1"/>
      <c r="M8" s="1"/>
      <c r="N8" s="1"/>
      <c r="O8" s="1"/>
      <c r="P8" s="1"/>
      <c r="Q8" s="1"/>
      <c r="R8" s="1"/>
      <c r="S8" s="1"/>
      <c r="T8" s="1"/>
      <c r="U8" s="1"/>
      <c r="V8" s="1"/>
      <c r="W8" s="1"/>
      <c r="X8" s="1"/>
      <c r="Y8" s="1"/>
      <c r="Z8" s="1"/>
    </row>
    <row r="9" spans="1:26" x14ac:dyDescent="0.2">
      <c r="A9" s="1"/>
      <c r="B9" s="2" t="s">
        <v>28</v>
      </c>
      <c r="C9" s="1"/>
      <c r="D9" s="1"/>
      <c r="E9" s="1"/>
      <c r="F9" s="1"/>
      <c r="G9" s="1"/>
      <c r="H9" s="1"/>
      <c r="I9" s="1"/>
      <c r="J9" s="1"/>
      <c r="K9" s="1"/>
      <c r="L9" s="1"/>
      <c r="M9" s="1"/>
      <c r="N9" s="1"/>
      <c r="O9" s="1"/>
      <c r="P9" s="1"/>
      <c r="Q9" s="1"/>
      <c r="R9" s="1"/>
      <c r="S9" s="1"/>
      <c r="T9" s="1"/>
      <c r="U9" s="1"/>
      <c r="V9" s="1"/>
      <c r="W9" s="1"/>
      <c r="X9" s="1"/>
      <c r="Y9" s="1"/>
      <c r="Z9" s="1"/>
    </row>
    <row r="10" spans="1:26" x14ac:dyDescent="0.2">
      <c r="A10" s="1"/>
      <c r="B10" s="1" t="s">
        <v>32</v>
      </c>
      <c r="C10" s="1"/>
      <c r="D10" s="1"/>
      <c r="E10" s="1"/>
      <c r="F10" s="1"/>
      <c r="G10" s="1"/>
      <c r="H10" s="1"/>
      <c r="I10" s="1"/>
      <c r="J10" s="1"/>
      <c r="K10" s="1"/>
      <c r="L10" s="1"/>
      <c r="M10" s="1"/>
      <c r="N10" s="1"/>
      <c r="O10" s="1"/>
      <c r="P10" s="1"/>
      <c r="Q10" s="1"/>
      <c r="R10" s="1"/>
      <c r="S10" s="1"/>
      <c r="T10" s="1"/>
      <c r="U10" s="1"/>
      <c r="V10" s="1"/>
      <c r="W10" s="1"/>
      <c r="X10" s="1"/>
      <c r="Y10" s="1"/>
      <c r="Z10" s="1"/>
    </row>
    <row r="11" spans="1:26" x14ac:dyDescent="0.2">
      <c r="A11" s="1"/>
      <c r="B11" s="1" t="s">
        <v>35</v>
      </c>
      <c r="C11" s="1"/>
      <c r="D11" s="1"/>
      <c r="E11" s="1"/>
      <c r="F11" s="1"/>
      <c r="G11" s="1"/>
      <c r="H11" s="1"/>
      <c r="I11" s="1"/>
      <c r="J11" s="1"/>
      <c r="K11" s="1"/>
      <c r="L11" s="1"/>
      <c r="M11" s="1"/>
      <c r="N11" s="1"/>
      <c r="O11" s="1"/>
      <c r="P11" s="1"/>
      <c r="Q11" s="1"/>
      <c r="R11" s="1"/>
      <c r="S11" s="1"/>
      <c r="T11" s="1"/>
      <c r="U11" s="1"/>
      <c r="V11" s="1"/>
      <c r="W11" s="1"/>
      <c r="X11" s="1"/>
      <c r="Y11" s="1"/>
      <c r="Z11" s="1"/>
    </row>
    <row r="12" spans="1:26"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
      <c r="A13" s="1"/>
      <c r="B13" s="2" t="s">
        <v>41</v>
      </c>
      <c r="C13" s="1"/>
      <c r="D13" s="1"/>
      <c r="E13" s="1"/>
      <c r="F13" s="1"/>
      <c r="G13" s="1"/>
      <c r="H13" s="1"/>
      <c r="I13" s="1"/>
      <c r="J13" s="1"/>
      <c r="K13" s="1"/>
      <c r="L13" s="1"/>
      <c r="M13" s="1"/>
      <c r="N13" s="1"/>
      <c r="O13" s="1"/>
      <c r="P13" s="1"/>
      <c r="Q13" s="1"/>
      <c r="R13" s="1"/>
      <c r="S13" s="1"/>
      <c r="T13" s="1"/>
      <c r="U13" s="1"/>
      <c r="V13" s="1"/>
      <c r="W13" s="1"/>
      <c r="X13" s="1"/>
      <c r="Y13" s="1"/>
      <c r="Z13" s="1"/>
    </row>
    <row r="14" spans="1:26" x14ac:dyDescent="0.2">
      <c r="A14" s="1"/>
      <c r="B14" s="1" t="s">
        <v>45</v>
      </c>
      <c r="C14" s="1"/>
      <c r="D14" s="1"/>
      <c r="E14" s="1"/>
      <c r="F14" s="1"/>
      <c r="G14" s="1"/>
      <c r="H14" s="1"/>
      <c r="I14" s="1"/>
      <c r="J14" s="1"/>
      <c r="K14" s="1"/>
      <c r="L14" s="1"/>
      <c r="M14" s="1"/>
      <c r="N14" s="1"/>
      <c r="O14" s="1"/>
      <c r="P14" s="1"/>
      <c r="Q14" s="1"/>
      <c r="R14" s="1"/>
      <c r="S14" s="1"/>
      <c r="T14" s="1"/>
      <c r="U14" s="1"/>
      <c r="V14" s="1"/>
      <c r="W14" s="1"/>
      <c r="X14" s="1"/>
      <c r="Y14" s="1"/>
      <c r="Z14" s="1"/>
    </row>
    <row r="15" spans="1:26" x14ac:dyDescent="0.2">
      <c r="A15" s="1"/>
      <c r="B15" s="1" t="s">
        <v>47</v>
      </c>
      <c r="C15" s="1"/>
      <c r="D15" s="1"/>
      <c r="E15" s="1"/>
      <c r="F15" s="1"/>
      <c r="G15" s="1"/>
      <c r="H15" s="1"/>
      <c r="I15" s="1"/>
      <c r="J15" s="1"/>
      <c r="K15" s="1"/>
      <c r="L15" s="1"/>
      <c r="M15" s="1"/>
      <c r="N15" s="1"/>
      <c r="O15" s="1"/>
      <c r="P15" s="1"/>
      <c r="Q15" s="1"/>
      <c r="R15" s="1"/>
      <c r="S15" s="1"/>
      <c r="T15" s="1"/>
      <c r="U15" s="1"/>
      <c r="V15" s="1"/>
      <c r="W15" s="1"/>
      <c r="X15" s="1"/>
      <c r="Y15" s="1"/>
      <c r="Z15" s="1"/>
    </row>
    <row r="16" spans="1:26" x14ac:dyDescent="0.2">
      <c r="A16" s="1"/>
      <c r="B16" s="1" t="s">
        <v>49</v>
      </c>
      <c r="C16" s="1"/>
      <c r="D16" s="1"/>
      <c r="E16" s="1"/>
      <c r="F16" s="1"/>
      <c r="G16" s="1"/>
      <c r="H16" s="1"/>
      <c r="I16" s="1"/>
      <c r="J16" s="1"/>
      <c r="K16" s="1"/>
      <c r="L16" s="1"/>
      <c r="M16" s="1"/>
      <c r="N16" s="1"/>
      <c r="O16" s="1"/>
      <c r="P16" s="1"/>
      <c r="Q16" s="1"/>
      <c r="R16" s="1"/>
      <c r="S16" s="1"/>
      <c r="T16" s="1"/>
      <c r="U16" s="1"/>
      <c r="V16" s="1"/>
      <c r="W16" s="1"/>
      <c r="X16" s="1"/>
      <c r="Y16" s="1"/>
      <c r="Z16" s="1"/>
    </row>
    <row r="17" spans="1:26" x14ac:dyDescent="0.2">
      <c r="A17" s="1"/>
      <c r="B17" s="1" t="s">
        <v>50</v>
      </c>
      <c r="C17" s="1"/>
      <c r="D17" s="1"/>
      <c r="E17" s="1"/>
      <c r="F17" s="1"/>
      <c r="G17" s="1"/>
      <c r="H17" s="1"/>
      <c r="I17" s="1"/>
      <c r="J17" s="1"/>
      <c r="K17" s="1"/>
      <c r="L17" s="1"/>
      <c r="M17" s="1"/>
      <c r="N17" s="1"/>
      <c r="O17" s="1"/>
      <c r="P17" s="1"/>
      <c r="Q17" s="1"/>
      <c r="R17" s="1"/>
      <c r="S17" s="1"/>
      <c r="T17" s="1"/>
      <c r="U17" s="1"/>
      <c r="V17" s="1"/>
      <c r="W17" s="1"/>
      <c r="X17" s="1"/>
      <c r="Y17" s="1"/>
      <c r="Z17" s="1"/>
    </row>
    <row r="18" spans="1:26" x14ac:dyDescent="0.2">
      <c r="A18" s="1"/>
      <c r="B18" s="1" t="s">
        <v>51</v>
      </c>
      <c r="C18" s="1"/>
      <c r="D18" s="1"/>
      <c r="E18" s="1"/>
      <c r="F18" s="1"/>
      <c r="G18" s="1"/>
      <c r="H18" s="1"/>
      <c r="I18" s="1"/>
      <c r="J18" s="1"/>
      <c r="K18" s="1"/>
      <c r="L18" s="1"/>
      <c r="M18" s="1"/>
      <c r="N18" s="1"/>
      <c r="O18" s="1"/>
      <c r="P18" s="1"/>
      <c r="Q18" s="1"/>
      <c r="R18" s="1"/>
      <c r="S18" s="1"/>
      <c r="T18" s="1"/>
      <c r="U18" s="1"/>
      <c r="V18" s="1"/>
      <c r="W18" s="1"/>
      <c r="X18" s="1"/>
      <c r="Y18" s="1"/>
      <c r="Z18" s="1"/>
    </row>
    <row r="19" spans="1:26" x14ac:dyDescent="0.2">
      <c r="A19" s="1"/>
      <c r="B19" s="1" t="s">
        <v>52</v>
      </c>
      <c r="C19" s="1"/>
      <c r="D19" s="1"/>
      <c r="E19" s="1"/>
      <c r="F19" s="1"/>
      <c r="G19" s="1"/>
      <c r="H19" s="1"/>
      <c r="I19" s="1"/>
      <c r="J19" s="1"/>
      <c r="K19" s="1"/>
      <c r="L19" s="1"/>
      <c r="M19" s="1"/>
      <c r="N19" s="1"/>
      <c r="O19" s="1"/>
      <c r="P19" s="1"/>
      <c r="Q19" s="1"/>
      <c r="R19" s="1"/>
      <c r="S19" s="1"/>
      <c r="T19" s="1"/>
      <c r="U19" s="1"/>
      <c r="V19" s="1"/>
      <c r="W19" s="1"/>
      <c r="X19" s="1"/>
      <c r="Y19" s="1"/>
      <c r="Z19" s="1"/>
    </row>
    <row r="20" spans="1:26"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2">
      <c r="A21" s="1"/>
      <c r="B21" s="2" t="s">
        <v>53</v>
      </c>
      <c r="C21" s="1"/>
      <c r="D21" s="1"/>
      <c r="E21" s="1"/>
      <c r="F21" s="1"/>
      <c r="G21" s="1"/>
      <c r="H21" s="1"/>
      <c r="I21" s="1"/>
      <c r="J21" s="1"/>
      <c r="K21" s="1"/>
      <c r="L21" s="1"/>
      <c r="M21" s="1"/>
      <c r="N21" s="1"/>
      <c r="O21" s="1"/>
      <c r="P21" s="1"/>
      <c r="Q21" s="1"/>
      <c r="R21" s="1"/>
      <c r="S21" s="1"/>
      <c r="T21" s="1"/>
      <c r="U21" s="1"/>
      <c r="V21" s="1"/>
      <c r="W21" s="1"/>
      <c r="X21" s="1"/>
      <c r="Y21" s="1"/>
      <c r="Z21" s="1"/>
    </row>
    <row r="22" spans="1:26" x14ac:dyDescent="0.2">
      <c r="A22" s="1"/>
      <c r="B22" s="10" t="s">
        <v>55</v>
      </c>
      <c r="C22" s="10" t="s">
        <v>56</v>
      </c>
      <c r="D22" s="10" t="s">
        <v>57</v>
      </c>
      <c r="E22" s="1"/>
      <c r="F22" s="1"/>
      <c r="G22" s="1"/>
      <c r="H22" s="1"/>
      <c r="I22" s="1"/>
      <c r="J22" s="1"/>
      <c r="K22" s="1"/>
      <c r="L22" s="1"/>
      <c r="M22" s="1"/>
      <c r="N22" s="1"/>
      <c r="O22" s="1"/>
      <c r="P22" s="1"/>
      <c r="Q22" s="1"/>
      <c r="R22" s="1"/>
      <c r="S22" s="1"/>
      <c r="T22" s="1"/>
      <c r="U22" s="1"/>
      <c r="V22" s="1"/>
      <c r="W22" s="1"/>
      <c r="X22" s="1"/>
      <c r="Y22" s="1"/>
      <c r="Z22" s="1"/>
    </row>
    <row r="23" spans="1:26" x14ac:dyDescent="0.2">
      <c r="A23" s="1"/>
      <c r="B23" s="11" t="s">
        <v>59</v>
      </c>
      <c r="C23" s="12">
        <f>COUNTA('Test Case'!A2:A1000)</f>
        <v>12</v>
      </c>
      <c r="D23" s="13">
        <f>SUM(D24:D26)</f>
        <v>1</v>
      </c>
      <c r="E23" s="1"/>
      <c r="F23" s="1"/>
      <c r="G23" s="1"/>
      <c r="H23" s="1"/>
      <c r="I23" s="1"/>
      <c r="J23" s="1"/>
      <c r="K23" s="1"/>
      <c r="L23" s="1"/>
      <c r="M23" s="1"/>
      <c r="N23" s="1"/>
      <c r="O23" s="1"/>
      <c r="P23" s="1"/>
      <c r="Q23" s="1"/>
      <c r="R23" s="1"/>
      <c r="S23" s="1"/>
      <c r="T23" s="1"/>
      <c r="U23" s="1"/>
      <c r="V23" s="1"/>
      <c r="W23" s="1"/>
      <c r="X23" s="1"/>
      <c r="Y23" s="1"/>
      <c r="Z23" s="1"/>
    </row>
    <row r="24" spans="1:26" x14ac:dyDescent="0.2">
      <c r="A24" s="1"/>
      <c r="B24" s="11" t="s">
        <v>72</v>
      </c>
      <c r="C24" s="12">
        <f>COUNTIF('Test Case'!I2:I1000,"PASS")</f>
        <v>10</v>
      </c>
      <c r="D24" s="13">
        <f>C24/C23</f>
        <v>0.83333333333333337</v>
      </c>
      <c r="E24" s="1"/>
      <c r="F24" s="1"/>
      <c r="G24" s="1"/>
      <c r="H24" s="1"/>
      <c r="I24" s="1"/>
      <c r="J24" s="1"/>
      <c r="K24" s="1"/>
      <c r="L24" s="1"/>
      <c r="M24" s="1"/>
      <c r="N24" s="1"/>
      <c r="O24" s="1"/>
      <c r="P24" s="1"/>
      <c r="Q24" s="1"/>
      <c r="R24" s="1"/>
      <c r="S24" s="1"/>
      <c r="T24" s="1"/>
      <c r="U24" s="1"/>
      <c r="V24" s="1"/>
      <c r="W24" s="1"/>
      <c r="X24" s="1"/>
      <c r="Y24" s="1"/>
      <c r="Z24" s="1"/>
    </row>
    <row r="25" spans="1:26" x14ac:dyDescent="0.2">
      <c r="A25" s="1"/>
      <c r="B25" s="11" t="s">
        <v>79</v>
      </c>
      <c r="C25" s="12">
        <f>COUNTIF('Test Case'!I2:I1001,"FAIL")</f>
        <v>0</v>
      </c>
      <c r="D25" s="13">
        <f>C25/C23</f>
        <v>0</v>
      </c>
      <c r="E25" s="1"/>
      <c r="F25" s="1"/>
      <c r="G25" s="1"/>
      <c r="H25" s="1"/>
      <c r="I25" s="1"/>
      <c r="J25" s="1"/>
      <c r="K25" s="1"/>
      <c r="L25" s="1"/>
      <c r="M25" s="1"/>
      <c r="N25" s="1"/>
      <c r="O25" s="1"/>
      <c r="P25" s="1"/>
      <c r="Q25" s="1"/>
      <c r="R25" s="1"/>
      <c r="S25" s="1"/>
      <c r="T25" s="1"/>
      <c r="U25" s="1"/>
      <c r="V25" s="1"/>
      <c r="W25" s="1"/>
      <c r="X25" s="1"/>
      <c r="Y25" s="1"/>
      <c r="Z25" s="1"/>
    </row>
    <row r="26" spans="1:26" x14ac:dyDescent="0.2">
      <c r="A26" s="1"/>
      <c r="B26" s="11" t="s">
        <v>83</v>
      </c>
      <c r="C26" s="12">
        <f>COUNTIF('Test Case'!I2:I1002,"OBSERVATION")</f>
        <v>2</v>
      </c>
      <c r="D26" s="13">
        <f>C26/C23</f>
        <v>0.16666666666666666</v>
      </c>
      <c r="E26" s="1"/>
      <c r="F26" s="1"/>
      <c r="G26" s="1"/>
      <c r="H26" s="1"/>
      <c r="I26" s="1"/>
      <c r="J26" s="1"/>
      <c r="K26" s="1"/>
      <c r="L26" s="1"/>
      <c r="M26" s="1"/>
      <c r="N26" s="1"/>
      <c r="O26" s="1"/>
      <c r="P26" s="1"/>
      <c r="Q26" s="1"/>
      <c r="R26" s="1"/>
      <c r="S26" s="1"/>
      <c r="T26" s="1"/>
      <c r="U26" s="1"/>
      <c r="V26" s="1"/>
      <c r="W26" s="1"/>
      <c r="X26" s="1"/>
      <c r="Y26" s="1"/>
      <c r="Z26" s="1"/>
    </row>
    <row r="27" spans="1:26"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4">
    <mergeCell ref="C4:G4"/>
    <mergeCell ref="C5:G5"/>
    <mergeCell ref="C6:G6"/>
    <mergeCell ref="C7:G7"/>
  </mergeCells>
  <hyperlinks>
    <hyperlink ref="C4"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3"/>
  <sheetViews>
    <sheetView workbookViewId="0">
      <pane ySplit="1" topLeftCell="A2" activePane="bottomLeft" state="frozen"/>
      <selection pane="bottomLeft" activeCell="H4" sqref="H4"/>
    </sheetView>
  </sheetViews>
  <sheetFormatPr defaultColWidth="12.5703125" defaultRowHeight="15.75" customHeight="1" x14ac:dyDescent="0.2"/>
  <cols>
    <col min="1" max="4" width="18.85546875" customWidth="1"/>
    <col min="5" max="6" width="31.42578125" customWidth="1"/>
    <col min="7" max="8" width="62.5703125" customWidth="1"/>
    <col min="9" max="9" width="18.85546875" customWidth="1"/>
    <col min="10" max="10" width="56.42578125" customWidth="1"/>
  </cols>
  <sheetData>
    <row r="1" spans="1:10" ht="22.5" customHeight="1" x14ac:dyDescent="0.2">
      <c r="A1" s="4" t="s">
        <v>5</v>
      </c>
      <c r="B1" s="4" t="s">
        <v>8</v>
      </c>
      <c r="C1" s="4" t="s">
        <v>10</v>
      </c>
      <c r="D1" s="4" t="s">
        <v>12</v>
      </c>
      <c r="E1" s="6" t="s">
        <v>14</v>
      </c>
      <c r="F1" s="6" t="s">
        <v>16</v>
      </c>
      <c r="G1" s="6" t="s">
        <v>17</v>
      </c>
      <c r="H1" s="6" t="s">
        <v>18</v>
      </c>
      <c r="I1" s="4" t="s">
        <v>22</v>
      </c>
      <c r="J1" s="19" t="s">
        <v>23</v>
      </c>
    </row>
    <row r="2" spans="1:10" ht="75" customHeight="1" x14ac:dyDescent="0.2">
      <c r="A2" s="7" t="s">
        <v>24</v>
      </c>
      <c r="B2" s="7" t="s">
        <v>25</v>
      </c>
      <c r="C2" s="7" t="s">
        <v>26</v>
      </c>
      <c r="D2" s="7" t="s">
        <v>29</v>
      </c>
      <c r="E2" s="8" t="s">
        <v>31</v>
      </c>
      <c r="F2" s="8" t="s">
        <v>34</v>
      </c>
      <c r="G2" s="8" t="s">
        <v>37</v>
      </c>
      <c r="H2" s="8" t="s">
        <v>40</v>
      </c>
      <c r="I2" s="18" t="s">
        <v>43</v>
      </c>
      <c r="J2" s="20" t="s">
        <v>46</v>
      </c>
    </row>
    <row r="3" spans="1:10" ht="75" customHeight="1" x14ac:dyDescent="0.2">
      <c r="A3" s="7" t="s">
        <v>54</v>
      </c>
      <c r="B3" s="7" t="s">
        <v>25</v>
      </c>
      <c r="C3" s="7" t="s">
        <v>26</v>
      </c>
      <c r="D3" s="7" t="s">
        <v>61</v>
      </c>
      <c r="E3" s="8" t="s">
        <v>63</v>
      </c>
      <c r="F3" s="8" t="s">
        <v>64</v>
      </c>
      <c r="G3" s="8" t="s">
        <v>65</v>
      </c>
      <c r="H3" s="8" t="s">
        <v>66</v>
      </c>
      <c r="I3" s="18" t="s">
        <v>43</v>
      </c>
      <c r="J3" s="20" t="s">
        <v>68</v>
      </c>
    </row>
    <row r="4" spans="1:10" ht="75" customHeight="1" x14ac:dyDescent="0.2">
      <c r="A4" s="7" t="s">
        <v>74</v>
      </c>
      <c r="B4" s="7" t="s">
        <v>75</v>
      </c>
      <c r="C4" s="7" t="s">
        <v>76</v>
      </c>
      <c r="D4" s="7" t="s">
        <v>29</v>
      </c>
      <c r="E4" s="8" t="s">
        <v>77</v>
      </c>
      <c r="F4" s="8" t="s">
        <v>78</v>
      </c>
      <c r="G4" s="8" t="s">
        <v>80</v>
      </c>
      <c r="H4" s="8" t="s">
        <v>81</v>
      </c>
      <c r="I4" s="18" t="s">
        <v>43</v>
      </c>
      <c r="J4" s="20" t="s">
        <v>82</v>
      </c>
    </row>
    <row r="5" spans="1:10" ht="75" customHeight="1" x14ac:dyDescent="0.2">
      <c r="A5" s="7" t="s">
        <v>30</v>
      </c>
      <c r="B5" s="7" t="s">
        <v>75</v>
      </c>
      <c r="C5" s="7" t="s">
        <v>76</v>
      </c>
      <c r="D5" s="7" t="s">
        <v>61</v>
      </c>
      <c r="E5" s="8" t="s">
        <v>84</v>
      </c>
      <c r="F5" s="8" t="s">
        <v>85</v>
      </c>
      <c r="G5" s="8" t="s">
        <v>86</v>
      </c>
      <c r="H5" s="8" t="s">
        <v>87</v>
      </c>
      <c r="I5" s="18" t="s">
        <v>44</v>
      </c>
      <c r="J5" s="20" t="s">
        <v>48</v>
      </c>
    </row>
    <row r="6" spans="1:10" ht="75" customHeight="1" x14ac:dyDescent="0.2">
      <c r="A6" s="7" t="s">
        <v>88</v>
      </c>
      <c r="B6" s="7" t="s">
        <v>89</v>
      </c>
      <c r="C6" s="7" t="s">
        <v>76</v>
      </c>
      <c r="D6" s="7" t="s">
        <v>29</v>
      </c>
      <c r="E6" s="8" t="s">
        <v>90</v>
      </c>
      <c r="F6" s="8" t="s">
        <v>91</v>
      </c>
      <c r="G6" s="8" t="s">
        <v>92</v>
      </c>
      <c r="H6" s="8" t="s">
        <v>93</v>
      </c>
      <c r="I6" s="18" t="s">
        <v>43</v>
      </c>
      <c r="J6" s="20" t="s">
        <v>94</v>
      </c>
    </row>
    <row r="7" spans="1:10" ht="75" customHeight="1" x14ac:dyDescent="0.2">
      <c r="A7" s="7" t="s">
        <v>95</v>
      </c>
      <c r="B7" s="7" t="s">
        <v>89</v>
      </c>
      <c r="C7" s="7" t="s">
        <v>76</v>
      </c>
      <c r="D7" s="7" t="s">
        <v>61</v>
      </c>
      <c r="E7" s="8" t="s">
        <v>96</v>
      </c>
      <c r="F7" s="8" t="s">
        <v>97</v>
      </c>
      <c r="G7" s="8" t="s">
        <v>98</v>
      </c>
      <c r="H7" s="8" t="s">
        <v>99</v>
      </c>
      <c r="I7" s="18" t="s">
        <v>43</v>
      </c>
      <c r="J7" s="20" t="s">
        <v>100</v>
      </c>
    </row>
    <row r="8" spans="1:10" ht="75" customHeight="1" x14ac:dyDescent="0.2">
      <c r="A8" s="7" t="s">
        <v>101</v>
      </c>
      <c r="B8" s="7" t="s">
        <v>102</v>
      </c>
      <c r="C8" s="7" t="s">
        <v>26</v>
      </c>
      <c r="D8" s="7" t="s">
        <v>29</v>
      </c>
      <c r="E8" s="8" t="s">
        <v>103</v>
      </c>
      <c r="F8" s="8" t="s">
        <v>104</v>
      </c>
      <c r="G8" s="8" t="s">
        <v>105</v>
      </c>
      <c r="H8" s="8" t="s">
        <v>106</v>
      </c>
      <c r="I8" s="18" t="s">
        <v>43</v>
      </c>
      <c r="J8" s="20" t="s">
        <v>107</v>
      </c>
    </row>
    <row r="9" spans="1:10" ht="75" customHeight="1" x14ac:dyDescent="0.2">
      <c r="A9" s="7" t="s">
        <v>60</v>
      </c>
      <c r="B9" s="7" t="s">
        <v>102</v>
      </c>
      <c r="C9" s="7" t="s">
        <v>26</v>
      </c>
      <c r="D9" s="7" t="s">
        <v>61</v>
      </c>
      <c r="E9" s="8" t="s">
        <v>108</v>
      </c>
      <c r="F9" s="8" t="s">
        <v>109</v>
      </c>
      <c r="G9" s="8" t="s">
        <v>110</v>
      </c>
      <c r="H9" s="8" t="s">
        <v>111</v>
      </c>
      <c r="I9" s="18" t="s">
        <v>44</v>
      </c>
      <c r="J9" s="20" t="s">
        <v>73</v>
      </c>
    </row>
    <row r="10" spans="1:10" ht="75" customHeight="1" x14ac:dyDescent="0.2">
      <c r="A10" s="7" t="s">
        <v>112</v>
      </c>
      <c r="B10" s="7" t="s">
        <v>89</v>
      </c>
      <c r="C10" s="7" t="s">
        <v>113</v>
      </c>
      <c r="D10" s="7" t="s">
        <v>29</v>
      </c>
      <c r="E10" s="8" t="s">
        <v>114</v>
      </c>
      <c r="F10" s="8" t="s">
        <v>115</v>
      </c>
      <c r="G10" s="8" t="s">
        <v>116</v>
      </c>
      <c r="H10" s="8" t="s">
        <v>117</v>
      </c>
      <c r="I10" s="18" t="s">
        <v>43</v>
      </c>
      <c r="J10" s="20" t="s">
        <v>118</v>
      </c>
    </row>
    <row r="11" spans="1:10" ht="75" customHeight="1" x14ac:dyDescent="0.2">
      <c r="A11" s="7" t="s">
        <v>119</v>
      </c>
      <c r="B11" s="7" t="s">
        <v>89</v>
      </c>
      <c r="C11" s="7" t="s">
        <v>113</v>
      </c>
      <c r="D11" s="7" t="s">
        <v>61</v>
      </c>
      <c r="E11" s="8" t="s">
        <v>120</v>
      </c>
      <c r="F11" s="8" t="s">
        <v>121</v>
      </c>
      <c r="G11" s="8" t="s">
        <v>122</v>
      </c>
      <c r="H11" s="8" t="s">
        <v>123</v>
      </c>
      <c r="I11" s="18" t="s">
        <v>43</v>
      </c>
      <c r="J11" s="20" t="s">
        <v>124</v>
      </c>
    </row>
    <row r="12" spans="1:10" ht="75" customHeight="1" x14ac:dyDescent="0.2">
      <c r="A12" s="7" t="s">
        <v>125</v>
      </c>
      <c r="B12" s="7" t="s">
        <v>89</v>
      </c>
      <c r="C12" s="7" t="s">
        <v>126</v>
      </c>
      <c r="D12" s="7" t="s">
        <v>29</v>
      </c>
      <c r="E12" s="8" t="s">
        <v>127</v>
      </c>
      <c r="F12" s="8" t="s">
        <v>128</v>
      </c>
      <c r="G12" s="8" t="s">
        <v>129</v>
      </c>
      <c r="H12" s="8" t="s">
        <v>130</v>
      </c>
      <c r="I12" s="18" t="s">
        <v>43</v>
      </c>
      <c r="J12" s="20" t="s">
        <v>131</v>
      </c>
    </row>
    <row r="13" spans="1:10" ht="75" customHeight="1" x14ac:dyDescent="0.2">
      <c r="A13" s="7" t="s">
        <v>132</v>
      </c>
      <c r="B13" s="7" t="s">
        <v>89</v>
      </c>
      <c r="C13" s="7" t="s">
        <v>126</v>
      </c>
      <c r="D13" s="7" t="s">
        <v>61</v>
      </c>
      <c r="E13" s="8" t="s">
        <v>133</v>
      </c>
      <c r="F13" s="8" t="s">
        <v>134</v>
      </c>
      <c r="G13" s="8" t="s">
        <v>135</v>
      </c>
      <c r="H13" s="8" t="s">
        <v>136</v>
      </c>
      <c r="I13" s="18" t="s">
        <v>43</v>
      </c>
      <c r="J13" s="20" t="s">
        <v>137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3"/>
  <sheetViews>
    <sheetView workbookViewId="0">
      <pane ySplit="1" topLeftCell="A2" activePane="bottomLeft" state="frozen"/>
      <selection pane="bottomLeft" activeCell="F11" sqref="F11"/>
    </sheetView>
  </sheetViews>
  <sheetFormatPr defaultColWidth="12.5703125" defaultRowHeight="15.75" customHeight="1" x14ac:dyDescent="0.2"/>
  <cols>
    <col min="1" max="2" width="18.85546875" customWidth="1"/>
    <col min="3" max="3" width="56.42578125" customWidth="1"/>
    <col min="4" max="4" width="18.85546875" customWidth="1"/>
    <col min="5" max="6" width="62.5703125" customWidth="1"/>
    <col min="7" max="8" width="18.85546875" customWidth="1"/>
    <col min="9" max="9" width="56.42578125" customWidth="1"/>
  </cols>
  <sheetData>
    <row r="1" spans="1:9" ht="22.5" customHeight="1" x14ac:dyDescent="0.2">
      <c r="A1" s="5" t="s">
        <v>4</v>
      </c>
      <c r="B1" s="5" t="s">
        <v>9</v>
      </c>
      <c r="C1" s="5" t="s">
        <v>11</v>
      </c>
      <c r="D1" s="5" t="s">
        <v>8</v>
      </c>
      <c r="E1" s="5" t="s">
        <v>17</v>
      </c>
      <c r="F1" s="5" t="s">
        <v>18</v>
      </c>
      <c r="G1" s="5" t="s">
        <v>21</v>
      </c>
      <c r="H1" s="5" t="s">
        <v>22</v>
      </c>
      <c r="I1" s="21" t="s">
        <v>23</v>
      </c>
    </row>
    <row r="2" spans="1:9" ht="75" customHeight="1" x14ac:dyDescent="0.2">
      <c r="A2" s="7" t="s">
        <v>27</v>
      </c>
      <c r="B2" s="7" t="s">
        <v>30</v>
      </c>
      <c r="C2" s="9" t="s">
        <v>33</v>
      </c>
      <c r="D2" s="9" t="s">
        <v>36</v>
      </c>
      <c r="E2" s="8" t="s">
        <v>38</v>
      </c>
      <c r="F2" s="8" t="s">
        <v>39</v>
      </c>
      <c r="G2" s="7" t="s">
        <v>42</v>
      </c>
      <c r="H2" s="18" t="s">
        <v>44</v>
      </c>
      <c r="I2" s="20" t="s">
        <v>48</v>
      </c>
    </row>
    <row r="3" spans="1:9" ht="75" customHeight="1" x14ac:dyDescent="0.2">
      <c r="A3" s="7" t="s">
        <v>58</v>
      </c>
      <c r="B3" s="7" t="s">
        <v>60</v>
      </c>
      <c r="C3" s="9" t="s">
        <v>62</v>
      </c>
      <c r="D3" s="9" t="s">
        <v>67</v>
      </c>
      <c r="E3" s="8" t="s">
        <v>69</v>
      </c>
      <c r="F3" s="8" t="s">
        <v>70</v>
      </c>
      <c r="G3" s="7" t="s">
        <v>71</v>
      </c>
      <c r="H3" s="18" t="s">
        <v>44</v>
      </c>
      <c r="I3" s="20" t="s">
        <v>73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Test Case</vt:lpstr>
      <vt:lpstr>Observation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Fadhilatul Muthiah</cp:lastModifiedBy>
  <dcterms:modified xsi:type="dcterms:W3CDTF">2026-09-18T10:41:57Z</dcterms:modified>
</cp:coreProperties>
</file>